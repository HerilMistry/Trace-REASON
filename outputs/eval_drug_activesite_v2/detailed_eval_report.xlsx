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derboard" sheetId="1" state="visible" r:id="rId2"/>
    <sheet name="Per-Question Scores" sheetId="2" state="visible" r:id="rId3"/>
    <sheet name="Raw Outputs" sheetId="3" state="visible" r:id="rId4"/>
    <sheet name="Questions Tested"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<sst xmlns="http://schemas.openxmlformats.org/spreadsheetml/2006/main" count="176" uniqueCount="75">
  <si>
    <t xml:space="preserve">rank</t>
  </si>
  <si>
    <t xml:space="preserve">model_name</t>
  </si>
  <si>
    <t xml:space="preserve">mode</t>
  </si>
  <si>
    <t xml:space="preserve">n_questions</t>
  </si>
  <si>
    <t xml:space="preserve">n_successful</t>
  </si>
  <si>
    <t xml:space="preserve">avg_faithfulness</t>
  </si>
  <si>
    <t xml:space="preserve">avg_correctness</t>
  </si>
  <si>
    <t xml:space="preserve">avg_completeness</t>
  </si>
  <si>
    <t xml:space="preserve">avg_hallucination_rate</t>
  </si>
  <si>
    <t xml:space="preserve">avg_composite_score</t>
  </si>
  <si>
    <t xml:space="preserve">avg_latency_s</t>
  </si>
  <si>
    <t xml:space="preserve">avg_tokens</t>
  </si>
  <si>
    <t xml:space="preserve">mistral/mistral-small-latest</t>
  </si>
  <si>
    <t xml:space="preserve">direct</t>
  </si>
  <si>
    <t xml:space="preserve">groq/llama-4-scout-17b</t>
  </si>
  <si>
    <t xml:space="preserve">groq/llama-3.3-70b-versatile</t>
  </si>
  <si>
    <t xml:space="preserve">provider</t>
  </si>
  <si>
    <t xml:space="preserve">question_id</t>
  </si>
  <si>
    <t xml:space="preserve">enzyme</t>
  </si>
  <si>
    <t xml:space="preserve">faithfulness</t>
  </si>
  <si>
    <t xml:space="preserve">correctness</t>
  </si>
  <si>
    <t xml:space="preserve">completeness</t>
  </si>
  <si>
    <t xml:space="preserve">hallucination_rate</t>
  </si>
  <si>
    <t xml:space="preserve">composite_score</t>
  </si>
  <si>
    <t xml:space="preserve">latency_seconds</t>
  </si>
  <si>
    <t xml:space="preserve">token_count</t>
  </si>
  <si>
    <t xml:space="preserve">judge_model</t>
  </si>
  <si>
    <t xml:space="preserve">backbone_success</t>
  </si>
  <si>
    <t xml:space="preserve">backbone_error</t>
  </si>
  <si>
    <t xml:space="preserve">judge_error</t>
  </si>
  <si>
    <t xml:space="preserve">unsupported_claims</t>
  </si>
  <si>
    <t xml:space="preserve">total_claims</t>
  </si>
  <si>
    <t xml:space="preserve">mistral</t>
  </si>
  <si>
    <t xml:space="preserve">Q6</t>
  </si>
  <si>
    <t xml:space="preserve">BACE1</t>
  </si>
  <si>
    <t xml:space="preserve">[]</t>
  </si>
  <si>
    <t xml:space="preserve">Q7</t>
  </si>
  <si>
    <t xml:space="preserve">MAOB</t>
  </si>
  <si>
    <t xml:space="preserve">['the alkyne undergoes nucleophilic attack by the reduced FAD (FADH₂) or a nearby active-site residue (e.g., Cys397 or Tyr398)', 'Key active-site residues (e.g., Ile199 in MAO-B vs. Phe208 in MAO-A) further restrict ligand binding in MAO-A']</t>
  </si>
  <si>
    <t xml:space="preserve">groq</t>
  </si>
  <si>
    <t xml:space="preserve">["The claim that 'the FAD N5 atom performs a nucleophilic attack on the propargylamine group' is not explicitly supported by the evidence, which does not detail the exact chemical mechanism of covalent adduct formation.", "The statement that 'the covalent modification blocks the flavin ring of FAD, which is essential for electron transfer' is an oversimplification; the evidence does not specify the electron transfer blockade mechanism."]</t>
  </si>
  <si>
    <t xml:space="preserve">['Asp93 acts as a general acid, donating a proton to the carbonyl oxygen of the peptide bond, while Asp289 acts as a general base, abstracting a proton from a water molecule.', 'Verubecestat, with its high potency, likely engages in specific interactions with critical residues in the BACE1 active site.']</t>
  </si>
  <si>
    <t xml:space="preserve">["The claim that 'the propargylamine group of the inhibitor reacts with FAD, leading to a covalent bond formation' is not explicitly supported by the evidence, which only states that irreversible propargylamine inhibitors form a covalent adduct with FAD-N5.", "The claim that 'the bipartite nature of the MAO-B cavity, comprising both a substrate cavity and an entrance cavity, provides multiple sites for inhibitor interaction' is implied but not explicitly stated in the evidence."]</t>
  </si>
  <si>
    <t xml:space="preserve">['The claim that competitive inhibitors interact with key residues in the active site, including the aspartyl dyad, to block catalytic activity is not explicitly supported by the evidence (no residue-level interaction details provided).', "The statement that inhibitors may be affecting other cellular processes or interacting with off-target enzymes is speculative and not directly supported by the supplied evidence (only 'class-wide liver toxicity concern' is mentioned)."]</t>
  </si>
  <si>
    <t xml:space="preserve">Q8</t>
  </si>
  <si>
    <t xml:space="preserve">LRRK2</t>
  </si>
  <si>
    <t xml:space="preserve">['BACE1 aspartyl dyad and substrate-binding pocket details', 'Verubecestat and Atabecestat information', 'MAO-B FAD cofactor, substrate-binding cavity, and inhibitor details']</t>
  </si>
  <si>
    <t xml:space="preserve">["The claim that 'drugs exploit the ATP binding site' for LRRK2 is not explicitly stated in the evidence; it is inferred but not directly supported.", "The claim that 'DNL201 is the most potent clinical inhibitor' is unsupported; the evidence does not state its potency or compare it to other inhibitors.", "The claim that 'MAO-B drugs exploit the FAD cofactor to reduce oxidative stress' is not supported by the evidence provided.", "The claim that 'specific details about BACE1 and MAO-B inhibitors are not provided' is redundant and does not address the question's requirements."]</t>
  </si>
  <si>
    <t xml:space="preserve">['BACE1 active-site residues Asp32 and Asp228 (not present in LRRK2 evidence)', 'BACE1 IC50(Verubecestat) = 0.3 nM (not in evidence)', 'MAO-B active-site cysteine residue Cys397 (not in evidence)', 'MAO-B IC50(Selegiline) = 0.08 μM and IC50(Rasagiline) = 4.4 nM (not in evidence)', "BACE1 inhibitors failed due to complexity of Alzheimer's Disease and BACE1's physiological roles (not in evidence)", 'MAO-B inhibitors increase dopamine availability (not in evidence)']</t>
  </si>
  <si>
    <t xml:space="preserve">gemini/gemini-2.0-flash</t>
  </si>
  <si>
    <t xml:space="preserve">gemini</t>
  </si>
  <si>
    <t xml:space="preserve">N/A</t>
  </si>
  <si>
    <t xml:space="preserve">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gemini-2.0-flash\n* Quota exceeded for metric: generativelanguage.googleapis.com/generate_content_free_tier_requests, limit: 0, model: gemini-2.0-flash\n* Quota exceeded for metric: generativelanguage.googleapis.com/generate_content_free_tier_input_token_count, limit: 0, model: gemini-2.0-flash\nPlease retry in 11.562924335s.',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'gemini-2.0-flash', 'location': 'global'}}, {'quotaMetric': 'generativelanguage.googleapis.com/generate_content_free_tier_requests', 'quotaId': 'GenerateRequestsPerMinutePerProjectPerModel-FreeTier', 'quotaDimensions': {'location': 'global', 'model': 'gemini-2.0-flash'}}, {'quotaMetric': 'generativelanguage.googleapis.com/generate_content_free_tier_input_token_count', 'quotaId': 'GenerateContentInputTokensPerModelPerMinute-FreeTier', 'quotaDimensions': {'location': 'global', 'model': 'gemini-2.0-flash'}}]}, {'@type': 'type.googleapis.com/google.rpc.RetryInfo', 'retryDelay': '11s'}]}}</t>
  </si>
  <si>
    <t xml:space="preserve">Empty backbone output</t>
  </si>
  <si>
    <t xml:space="preserve">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gemini-2.0-flash\n* Quota exceeded for metric: generativelanguage.googleapis.com/generate_content_free_tier_requests, limit: 0, model: gemini-2.0-flash\n* Quota exceeded for metric: generativelanguage.googleapis.com/generate_content_free_tier_input_token_count, limit: 0, model: gemini-2.0-flash\nPlease retry in 11.129680305s.',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'gemini-2.0-flash'}}, {'quotaMetric': 'generativelanguage.googleapis.com/generate_content_free_tier_requests', 'quotaId': 'GenerateRequestsPerMinutePerProjectPerModel-FreeTier', 'quotaDimensions': {'location': 'global', 'model': 'gemini-2.0-flash'}}, {'quotaMetric': 'generativelanguage.googleapis.com/generate_content_free_tier_input_token_count', 'quotaId': 'GenerateContentInputTokensPerModelPerMinute-FreeTier', 'quotaDimensions': {'location': 'global', 'model': 'gemini-2.0-flash'}}]}, {'@type': 'type.googleapis.com/google.rpc.RetryInfo', 'retryDelay': '11s'}]}}</t>
  </si>
  <si>
    <t xml:space="preserve">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gemini-2.0-flash\n* Quota exceeded for metric: generativelanguage.googleapis.com/generate_content_free_tier_requests, limit: 0, model: gemini-2.0-flash\n* Quota exceeded for metric: generativelanguage.googleapis.com/generate_content_free_tier_requests, limit: 0, model: gemini-2.0-flash\nPlease retry in 10.752804139s.',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'gemini-2.0-flash', 'location': 'global'}}, {'quotaMetric': 'generativelanguage.googleapis.com/generate_content_free_tier_requests', 'quotaId': 'GenerateRequestsPerMinutePerProjectPerModel-FreeTier', 'quotaDimensions': {'model': 'gemini-2.0-flash', 'location': 'global'}}, {'quotaMetric': 'generativelanguage.googleapis.com/generate_content_free_tier_requests', 'quotaId': 'GenerateRequestsPerDayPerProjectPerModel-FreeTier', 'quotaDimensions': {'model': 'gemini-2.0-flash', 'location': 'global'}}]}, {'@type': 'type.googleapis.com/google.rpc.RetryInfo', 'retryDelay': '10s'}]}}</t>
  </si>
  <si>
    <t xml:space="preserve">Model</t>
  </si>
  <si>
    <t xml:space="preserve">Question ID</t>
  </si>
  <si>
    <t xml:space="preserve">Success</t>
  </si>
  <si>
    <t xml:space="preserve">Latency (s)</t>
  </si>
  <si>
    <t xml:space="preserve">Model Output (Detail)</t>
  </si>
  <si>
    <t xml:space="preserve">The BACE1 enzyme, a beta-site amyloid precursor protein cleaving enzyme 1, plays a crucial role in the pathogenesis of Alzheimer's Disease by catalyzing the rate-limiting step in Aβ production. The active-site architecture of BACE1 features a catalytic aspartyl dyad, comprising Asp93 and Asp289, which is characteristic of aspartyl proteases. This dyad is responsible for the enzyme's catalytic activity, enabling the cleavage of substrates such as Amyloid Precursor Protein (APP).
The catalytic mechanism involves the coordination of a water molecule by the aspartyl dyad, facilitating a nucleophilic attack on the scissile peptide bond of the substrate. This results in the hydrolysis of the peptide bond, leading to the release of the soluble ectodomain (sAPPβ) and the formation of the β-CTF/C99 fragment, which is subsequently processed by γ-secretase to produce Aβ40/42.
Competitive inhibitors, such as Verubecestat (Ki = 2.2 nM) and OM99-2 (Ki = 1.6 nM), exploit the active-site geometry of BACE1 to block APP processing. These inhibitors bind to the active site, occupying the space normally occupied by the substrate, and thereby preventing the substrate from accessing the catalytic aspartyl dyad. This binding is highly specific, with the inhibitors interacting with key residues in the active site, including the aspartyl dyad, to block the catalytic activity of the enzyme.
Despite their high potency, with picomolar inhibitory constants, this class of drugs failed clinically due to a class-wide liver toxicity concern. The termination of Phase 3 trials for Verubecestat and Atabecestat in 2018 highlights the challenges associated with targeting BACE1. The liver toxicity issue suggests that the inhibitors may be affecting other cellular processes or interacting with off-target enzymes, leading to unintended consequences.
In summary, the BACE1 active-site architecture, featuring the catalytic aspartyl dyad, enables substrate cleavage through a coordinated nucleophilic attack. Competitive inhibitors, such as Verubecestat and OM99-2, exploit this active-site geometry to block APP processing. However, the clinical failure of this drug class, despite high potency, underscores the need for further research into the development of safe and effective BACE1 inhibitors for the treatment of Alzheimer's Disease. 
Mechanistic steps:
1. **Substrate binding**: APP binds to the active site of BACE1, positioning the scissile peptide bond for catalysis.
2. **Catalytic aspartyl dyad activation**: The aspartyl dyad (Asp93 and Asp289) coordinates a water molecule, facilitating a nucleophilic attack on the scissile peptide bond.
3. **Peptide bond hydrolysis**: The nucleophilic attack results in the hydrolysis of the peptide bond, releasing the soluble ectodomain (sAPPβ) and forming the β-CTF/C99 fragment.
4. **Inhibitor binding**: Competitive inhibitors, such as Verubecestat and OM99-2, bind to the active site, occupying the space normally occupied by the substrate and preventing substrate access to the catalytic aspartyl dyad.
5. **Catalytic inhibition**: The bound inhibitor blocks the catalytic activity of BACE1, preventing the processing of APP and the production of Aβ40/42.</t>
  </si>
  <si>
    <t xml:space="preserve">To address the question, we will break down the explanation into three parts based on the provided kinetic evidence and the characteristics of the MAO-B enzyme.
### 1. Formation of a Covalent Adduct by Irreversible Propargylamine Inhibitors
Irreversible propargylamine inhibitors, such as Rasagiline, form a covalent adduct with the FAD cofactor at the N5 position. This process involves the nucleophilic attack of the FAD N5 atom on the propargylamine group of the inhibitor. The FAD cofactor, which is covalently bound to the enzyme at Cys397, plays a crucial role in the catalytic activity of MAO-B. The propargylamine moiety of Rasagiline, with a Ki of 0.41 nM, positions itself in a way that facilitates this nucleophilic attack, leading to the formation of a covalent adduct. This covalent modification effectively inactivates the enzyme by blocking the flavin ring of FAD, which is essential for the electron transfer process during the oxidation of substrates like dopamine. The irreversible nature of this inhibition means that the enzyme remains inactivated until new MAO-B enzyme is synthesized.
### 2. Occupation of Substrate and Entrance Cavities by Reversible Inhibitors
Reversible inhibitors like Safinamide, with a Ki of 0.98 nM, occupy both the substrate and entrance cavities of the MAO-B active site. Unlike irreversible inhibitors, reversible inhibitors do not form covalent bonds with the enzyme or its cofactor. Instead, they bind non-covalently to the active site, competing with the natural substrates (e.g., dopamine) for access to the enzyme. The ability of Safinamide to bind to both the substrate and entrance cavities suggests that it can effectively block the access of substrates to the active site, thereby inhibiting the enzyme's activity. This mode of action allows for the reversible inhibition of MAO-B, meaning that the enzyme's activity can be restored once the inhibitor is removed or its concentration decreases.
### 3. Implications of the 700 Å³ Bipartite Cavity for MAO-B Drug Selectivity
The active site of MAO-B has a bipartite cavity with a volume of 700 Å³, which is larger than that of MAO-A (490 Å³). This larger cavity size implies that MAO-B can accommodate bulkier substrates and inhibitors compared to MAO-A. The difference in cavity size between MAO-B and MAO-A is significant for drug selectivity. Inhibitors designed to target MAO-B can be tailored to take advantage of this larger cavity, allowing for the development of selective inhibitors that preferentially target MAO-B over MAO-A. This selectivity is crucial for minimizing off-target effects, as MAO-A is involved in the metabolism of different neurotransmitters and has different substrate specificities compared to MAO-B. The larger cavity of MAO-B also provides a structural basis for the design of drugs like Safinamide, which can occupy both the substrate and entrance cavities, and for the development of irreversible inhibitors like Rasagiline, which form covalent adducts with the FAD cofactor.
In summary, the kinetic evidence and structural characteristics of the MAO-B enzyme provide a mechanistic understanding of how different types of inhibitors interact with the enzyme. The formation of a covalent adduct by irreversible propargylamine inhibitors, the occupation of substrate and entrance cavities by reversible inhibitors, and the implications of the bipartite cavity size for drug selectivity all contribute to the development of targeted therapeutic strategies for the treatment of Parkinson's Disease.</t>
  </si>
  <si>
    <t xml:space="preserve">Based on the provided evidence, I will compare the drug-ability of LRRK2, BACE1, and MAO-B as neurological enzyme targets. However, please note that the evidence packages for BACE1 and MAO-B are not supplied, so I will rely on general knowledge of these enzymes and their inhibitors.
**LRRK2 (Leucine-rich repeat serine/threonine-protein kinase 2)**
1. Active-site residues or cofactors: The evidence suggests that LRRK2 exploits Mg2+ as a cofactor, and the kinase active site is targeted by inhibitors. The G2019S variant, a gain-of-function hyperactive kinase, is the target form for inhibitors.
2. Most potent approved or clinical inhibitor: The evidence mentions DNL201 as a clinical inhibitor (Phase 3) with no IC50 value provided. However, another inhibitor, MLi-2, has an IC50 of 1.4 nM.
3. Mechanism-of-action and clinical outcome: LRRK2 inhibitors aim to reduce the hyperactive kinase activity associated with the G2019S variant, which is implicated in Parkinson's Disease. The success of LRRK2 as a drug target is still being evaluated in clinical trials (Phase 3), but the evidence suggests that inhibiting this kinase may be a viable therapeutic strategy.
**BACE1 (aspartyl protease)**
Since the evidence package for BACE1 is not provided, I will rely on general knowledge. BACE1 is a target for Alzheimer's Disease treatment, and its inhibitors aim to reduce amyloid-β production.
1. Active-site residues or cofactors: BACE1 inhibitors typically target the active-site aspartic acids (Asp32 and Asp228) and exploit the enzyme's reliance on these residues for catalysis.
2. Most potent approved or clinical inhibitor: Verubecestat (MK-8931) is a clinical inhibitor with an IC50 of 0.3 nM, but it failed to show efficacy in Phase 3 trials. Other inhibitors, like lanabecestat, have also been investigated.
3. Mechanism-of-action and clinical outcome: BACE1 inhibitors aim to reduce amyloid-β production by blocking the enzyme's catalytic activity. Despite promising preclinical results, BACE1 inhibitors have largely failed to demonstrate significant clinical efficacy in Alzheimer's Disease trials, possibly due to the complexity of the disease and the role of BACE1 in other physiological processes.
**MAO-B (FAD-oxidase)**
Since the evidence package for MAO-B is not provided, I will rely on general knowledge. MAO-B is a target for Parkinson's Disease treatment, and its inhibitors aim to reduce dopamine degradation.
1. Active-site residues or cofactors: MAO-B inhibitors typically target the FAD cofactor and the active-site cysteine residue (Cys397), which is involved in the enzyme's catalytic mechanism.
2. Most potent approved or clinical inhibitor: Selegiline and rasagiline are approved MAO-B inhibitors, with IC50 values of 0.08 μM and 4.4 nM, respectively.
3. Mechanism-of-action and clinical outcome: MAO-B inhibitors aim to reduce dopamine degradation by blocking the enzyme's catalytic activity, thereby increasing dopamine availability in the brain. MAO-B inhibitors have been successful in treating Parkinson's Disease, particularly in combination with other therapies, and have demonstrated a relatively good safety profile.
In conclusion, the success of LRRK2, BACE1, and MAO-B as drug targets depends on various factors, including the understanding of the underlying disease mechanisms, the availability of potent and selective inhibitors, and the complexity of the disease itself. While MAO-B inhibitors have been successful in treating Parkinson's Disease, BACE1 inhibitors have largely failed to demonstrate efficacy in Alzheimer's Disease trials. The outcome of LRRK2 inhibitors in clinical trials remains to be determined.</t>
  </si>
  <si>
    <t xml:space="preserve">## BACE1 Active-Site Architecture and Catalytic Mechanism
The BACE1 enzyme, a β-secretase, is a crucial target in Alzheimer's disease (AD) drug discovery due to its role in the rate-limiting step of amyloid-β (Aβ) production. BACE1 is an aspartyl protease that utilizes a catalytic dyad of aspartic acid residues, Asp93 and Asp289, to cleave its substrates.
### Active-Site Architecture
The BACE1 active site is characterized by a catalytic aspartyl dyad (Asp93 and Asp289) that facilitates the cleavage of peptide bonds in substrates such as the amyloid precursor protein (APP). This dyad operates optimally at a pH of 4.5, which corresponds to the late endosomal/lysosomal compartment where BACE1 is primarily active.
### Catalytic Mechanism
The catalytic mechanism of BACE1 involves the aspartyl dyad acting in a general acid-general base manner:
1. **Substrate Binding**: The substrate, such as APP, binds to the active site of BACE1. The enzyme exhibits higher affinity for the Swedish mutant APP (Km = 1.8 µM) compared to wild-type APP (Km = 12.0 µM).
2. **Catalytic Dyad Activation**: The aspartyl dyad (Asp93 and Asp289) positions itself to facilitate the nucleophilic attack on the peptide bond. Asp93 acts as a general acid, donating a proton to the carbonyl oxygen of the peptide bond, while Asp289 acts as a general base, abstracting a proton from a water molecule.
3. **Peptide Bond Hydrolysis**: The activated water molecule performs a nucleophilic attack on the carbonyl carbon of the peptide bond, leading to the formation of a tetrahedral intermediate. This intermediate then collapses, facilitated by the proton transfer from Asp93, resulting in the cleavage of the peptide bond.
4. **Product Formation**: The cleavage results in the production of soluble ectodomain (sAPPβ) and the β-CTF/C99 fragment, which is further processed by γ-secretase to produce Aβ40/42 peptides.
## Competitive Inhibition by Verubecestat and OM99-2
Competitive inhibitors like Verubecestat (Ki = 2.2 nM) and OM99-2 (Ki = 1.6 nM) exploit the active-site geometry of BACE1 to block APP processing.
- **Binding to Active Site**: These inhibitors bind reversibly to the active site of BACE1, competing with the substrate APP for access.
- **Structural Mimicry**: OM99-2, being a peptidomimetic inhibitor, structurally mimics the APP substrate, allowing it to bind effectively to the active site. Verubecestat, with its high potency, likely engages in specific interactions with critical residues in the BACE1 active site.
- **Blocking Substrate Cleavage**: By occupying the active site, these inhibitors prevent the substrate from binding and undergoing cleavage. This results in a decrease in the production of Aβ peptides.
## Clinical Failure of BACE1 Inhibitors
Despite their picomolar potency in inhibiting BACE1 activity, the class of BACE1 inhibitors failed clinically, notably due to:
- **Liver Toxicity**: A class-wide concern related to liver toxicity, which raised safety issues.
- **Cognitive Worsening**: Compounds like Verubecestat showed cognitive worsening in patients, suggesting potential off-target effects or an overly aggressive reduction in Aβ production that negatively impacted neuronal function.
In conclusion, the BACE1 enzyme's active-site architecture, centered around its catalytic aspartyl dyad, is crucial for its function in APP processing and Aβ production. Competitive inhibitors target this site to block APP cleavage; however, their clinical failure highlights the complexity of targeting BACE1 for Alzheimer's disease treatment and the need for a deeper understanding of the underlying mechanisms and potential side effects.</t>
  </si>
  <si>
    <t xml:space="preserve">## Step 1: Understanding the Active Site and Inhibitor Binding Modes
The enzyme MAO-B has a bipartite active-site cavity with a volume of 700.0 Å³, which is larger than that of MAO-A (490 Å³). This larger cavity is composed of a substrate cavity and an entrance cavity. The active site contains the FAD cofactor, which is covalently bound at Cys397.
## 2: Mechanism of Irreversible Propargylamine Inhibitors (e.g., Rasagiline)
Irreversible propargylamine inhibitors, such as Rasagiline, form a covalent adduct with the FAD cofactor at its N5 position. This occurs through a mechanism where the propargylamine group of the inhibitor reacts with FAD, leading to a covalent bond formation. The Ki value for Rasagiline is 0.41 nM, indicating high affinity for MAO-B. The irreversible nature of this inhibition means that once bound, Rasagiline permanently inactivates the enzyme, which is beneficial in the treatment of Parkinson's Disease by providing long-lasting inhibition of dopamine catabolism.
## 3: Mechanism of Reversible Inhibitors (e.g., Safinamide)
Reversible inhibitors like Safinamide occupy both the substrate and entrance cavities of the MAO-B active site. The Ki value for Safinamide is 0.98 nM, indicating a high affinity for the enzyme. Unlike irreversible inhibitors, Safinamide binds reversibly, meaning it does not form a covalent bond with the enzyme or the FAD cofactor. Instead, it competes with substrates like dopamine for access to the active site, thereby reducing the rate of dopamine catabolism. The reversible nature of Safinamide's binding allows for a potentially more flexible therapeutic approach compared to irreversible inhibitors.
## 4: Implications of the 700 Å³ Bipartite Cavity for Drug Selectivity
The larger active-site cavity volume of MAO-B (700 Å³) compared to MAO-A (490 Å³) implies that MAO-B may have a greater capacity to accommodate a variety of inhibitors, potentially allowing for more selective targeting. This size difference could enable the design of drugs that preferentially bind to MAO-B over MAO-A, reducing off-target effects. The bipartite nature of the MAO-B cavity, comprising both a substrate cavity and an entrance cavity, provides multiple sites for inhibitor interaction, which can be exploited to develop selective inhibitors like Safinamide that occupy both cavities.
## 5: Conclusion on Inhibitor Binding and Selectivity
In conclusion, the irreversible propargylamine inhibitors like Rasagiline achieve their potency through covalent adduct formation with the FAD cofactor at the N5 position. Reversible inhibitors such as Safinamide act by competitively occupying the substrate and entrance cavities of the MAO-B active site. The larger size of the MAO-B active site compared to MAO-A may facilitate the development of selective inhibitors, contributing to the therapeutic efficacy of drugs like Rasagiline and Safinamide in treating Parkinson's Disease.</t>
  </si>
  <si>
    <t xml:space="preserve">## Step 1: Identify the active-site residues or cofactors that drugs exploit for LRRK2
The evidence provided for LRRK2 mentions the cofactor Mg2+ and substrates ATP, Rab8A, Rab10, and Rab35. The active-site residues or cofactors that drugs exploit include the ATP binding site, as LRRK2 inhibitors like DNL201, MLi-2, PF-475, and GSK2578215A target this site.
## 2: State the most potent approved or clinical inhibitor of LRRK2 and its IC50
For LRRK2, the most potent clinical inhibitor mentioned is DNL201, but its IC50 is not provided. However, the tool inhibitor MLi-2 has an IC50 of 1.4 nM.
## 3: Assess why LRRK2 succeeded or failed as a drug target based on mechanism-of-action and clinical outcome evidence
LRRK2 has succeeded as a drug target, with DNL201 in Phase 3 clinical trials. The gain-of-function hyperactive kinase variant G2019S is a target for Parkinson's Disease treatment, suggesting a clear mechanism-of-action and potential for clinical benefit.
## 4: Transition to BACE1 (aspartyl protease) for comparison
For BACE1, an aspartyl protease, the active-site residues that drugs exploit are the aspartic acid residues in the catalytic site. However, specific details about BACE1 inhibitors, their IC50/Ki values, and clinical outcomes are not provided in the evidence package.
## 5: Transition to MAO-B (FAD-oxidase) for comparison
For MAO-B, a FAD-oxidase, the cofactor FAD is crucial for its activity. Drugs exploit this by inhibiting the enzyme, thereby reducing oxidative stress. Like BACE1, specific details about MAO-B inhibitors, their IC50/Ki values, and clinical outcomes are not provided.
## 6: Comparative Assessment
Given the provided evidence, LRRK2 has a clear path as a drug target with a defined mechanism-of-action (inhibition of a gain-of-function kinase variant) and an ongoing Phase 3 clinical trial (DNL201). The evidence does not provide direct comparisons or detailed assessments for BACE1 and MAO-B, which are crucial for a comprehensive comparison of their drug-ability.
## 7: Conclusion on LRRK2
LRRK2's drug-ability is supported by its clear mechanism-of-action, a potent clinical inhibitor (DNL201), and ongoing clinical trials. The IC50 of the tool inhibitor MLi-2 is 1.4 nM, indicating high potency.
The final answer is: $\boxed{1.4}$</t>
  </si>
  <si>
    <t xml:space="preserve">### **BACE1 Active-Site Architecture and Catalytic Mechanism**
#### **1. Active-Site Structure and Aspartyl Dyad Function**
BACE1 (Beta-site APP Cleaving Enzyme 1) is an **aspartyl protease** (EC 3.4.23.46) that relies on a **catalytic aspartyl dyad** (Asp93 and Asp289) for proteolysis. The active site is optimized for **acidic pH (~4.5)**, consistent with its localization in **late endosomes/lysosomes**, where APP is processed.
- **Substrate Binding Pocket**:
  - The active site accommodates the **β-site of APP** (Met671-Asp672) and the **Swedish mutation (KM670/671NL)**, which enhances binding affinity (~6.7× lower Km for Swedish APP).
  - The **P1-P1’ residues** (where cleavage occurs) must align with the catalytic dyad for hydrolysis.
- **Catalytic Mechanism**:
  1. **Protonation State**: At pH 4.5, one aspartate (likely Asp93) is protonated (neutral), while the other (Asp289) is deprotonated (anionic).
  2. **Nucleophilic Attack**: The deprotonated Asp289 activates a water molecule, generating a hydroxide ion that attacks the **scissile bond (Met671-Asp672)**.
  3. **Tetrahedral Intermediate**: A transient oxyanion intermediate forms, stabilized by the protonated Asp93.
  4. **Cleavage &amp; Product Release**: The bond breaks, yielding **sAPPβ (soluble ectodomain)** and **β-CTF/C99**, which is further processed by γ-secretase to generate Aβ40/42.
#### **2. Inhibition by Competitive Inhibitors (Verubecestat &amp; OM99-2)**
Both **Verubecestat (Ki = 2.2 nM)** and **OM99-2 (Ki = 1.6 nM)** are **competitive inhibitors** that exploit the active-site geometry to block APP processing.
- **Verubecestat (MK-8931)**:
  - **Mechanism**: Binds reversibly to the active site, mimicking the substrate’s P1-P1’ residues.
  - **Key Interactions**:
    - The **hydroxyethylamine transition-state analog** in Verubecestat interacts with the catalytic dyad (Asp93/Asp289), displacing the water molecule required for hydrolysis.
    - The **P2-P3 residues** engage in hydrophobic interactions within the S2-S3 subsites, enhancing affinity.
  - **Potency**: The **Ki (2.2 nM)** reflects high-affinity binding, effectively outcompeting APP (Km = 12 µM for WT, 1.8 µM for Swedish).
- **OM99-2 (Peptidomimetic Inhibitor)**:
  - **Mechanism**: A **transition-state analog** with a **statine residue** (non-hydrolyzable dipeptide mimic) that binds tightly to the active site.
  - **Key Interactions**:
    - The **statine hydroxyl group** coordinates with the catalytic dyad, mimicking the tetrahedral intermediate.
    - The **P1-P1’ residues** fit into the S1-S1’ pockets, preventing substrate access.
  - **Potency**: The **Ki (1.6 nM)** is among the tightest known for BACE1, demonstrating the importance of transition-state mimicry.
#### **3. Why Did BACE1 Inhibitors Fail Clinically Despite Picomolar Potency?**
Despite **sub-nanomolar Ki values**, BACE1 inhibitors (Verubecestat, Atabecestat, Elenbecestat) failed in **Phase 3 trials (2018)** due to:
1. **Mechanism-Based Toxicity (Liver &amp; CNS Effects)**:
   - BACE1 cleaves **multiple substrates** (NRG1, SEZ6, CHL1), disrupting **neuregulin signaling** (critical for myelination) and **neuronal plasticity**.
   - **NRG1 shedding inhibition** → Impaired myelination, synaptic dysfunction.
   - **SEZ6/CHL1 processing disruption** → Altered neuronal connectivity.
2. **Substrate-Selectivity Issues**:
   - BACE1 inhibition reduces **Aβ production** but also blocks **protective processing** (e.g., NRG1’s neurotrophic effects).
   - The **Swedish mutation (KM670/671NL)** increases BACE1 affinity, but **wild-type APP processing** is still critical for normal function.
3. **Cognitive Worsening in Patients**:
   - **Verubecestat (Phase 3 trial)** worsened cognition despite reducing Aβ, suggesting **off-target effects** on synaptic function.
   - **Atabecestat** caused **liver toxicity**, leading to termination.
4. **Suboptimal Pharmacodynamics**:
   - **Blood-brain barrier (BBB) penetration** was sufficient, but **systemic exposure** led to **peripheral toxicity** (e.g., liver enzymes).
   - **pH-dependent inhibition**: BACE1’s optimal activity is at **pH 4.5**, but **lysosomal dysfunction** in aging neurons may reduce efficacy.
### **Conclusion**
BACE1’s **aspartyl dyad (Asp93/Asp289)** enables substrate cleavage via **acid-base catalysis**, with competitive inhibitors (Verubecestat, OM99-2) exploiting **transition-state mimicry** to achieve picomolar potency. However, **clinical failure** stemmed from **substrate promiscuity**, **mechanism-based toxicity**, and **cognitive side effects**, highlighting the challenges of targeting **rate-limiting proteases** in complex neurodegenerative diseases.</t>
  </si>
  <si>
    <t xml:space="preserve">### Mechanistic Explanation of MAO-B Inhibitor Binding Modes
#### (1) **Irreversible Propargylamine Inhibitors (e.g., Rasagiline) Covalent Adduct Formation with FAD-N5**
- **Active-site chemistry**: MAO-B contains a covalently bound FAD cofactor at Cys397, which is essential for catalysis. The FAD undergoes redox cycling during substrate oxidation (dopamine → DOPAL + H₂O₂).
- **Propargylamine mechanism**: Rasagiline (and Selegiline) contain a propargylamine moiety (–C≡CH–NH₂). Upon binding to the active site, the terminal alkyne carbon of the propargyl group is positioned near the **N5 atom of FAD’s isoalloxazine ring**.
- **Covalent adduct formation**:
  - The propargylamine nitrogen forms a reversible imine (Schiff base) with FAD-N5.
  - The alkyne undergoes nucleophilic attack by the reduced FAD (FADH₂) or a nearby active-site residue (e.g., Cys397 or Tyr398), leading to **irreversible covalent bond formation** at FAD-N5.
  - This adduct **permanently inactivates MAO-B** by preventing FAD redox cycling, halting dopamine catabolism.
- **Kinetic evidence**: The **Ki for Rasagiline (0.41 nM)** reflects high-affinity binding, followed by covalent bond formation (irreversible inhibition). The **Ki is a measure of initial binding affinity**, but the covalent step ensures long-lasting inhibition.
---
#### (2) **Reversible Inhibitors (e.g., Safinamide) Occupancy of Substrate and Entrance Cavities**
- **Bipartite cavity structure**: MAO-B has a **700 Å³ bipartite active-site cavity**, consisting of:
  - **Substrate cavity**: Binds dopamine/PEA (substrate-binding site).
  - **Entrance cavity**: Adjacent to the substrate cavity, gating substrate access.
- **Safinamide binding**:
  - Safinamide is a **reversible competitive inhibitor** (Ki = 0.98 nM) that occupies **both cavities simultaneously**.
  - It binds in a **non-covalent manner**, blocking substrate (e.g., dopamine) access to the FAD active site.
  - The **larger cavity volume (700 Å³ vs. MAO-A’s 490 Å³)** allows Safinamide to fit snugly, enhancing selectivity for MAO-B.
- **Mechanistic implication**: Unlike propargylamines, Safinamide does not modify FAD. Inhibition is **competitive and reversible**, meaning dopamine can displace it if concentrations are high enough.
---
#### (3) **Implications of the 700 Å³ Bipartite Cavity for MAO-B Drug Selectivity vs. MAO-A (490 Å³)**
- **Cavity volume differences**:
  - **MAO-B (700 Å³)**: Larger bipartite cavity allows binding of bulkier inhibitors (e.g., Safinamide) and substrates (e.g., PEA).
  - **MAO-A (490 Å³)**: Smaller cavity restricts access to larger molecules, favoring smaller substrates (e.g., serotonin, norepinephrine).
- **Selectivity mechanisms**:
  - **Shape complementarity**: Safinamide’s structure fits MAO-B’s larger cavity but clashes with MAO-A’s tighter binding pocket.
  - **Residue differences**: Key active-site residues (e.g., Ile199 in MAO-B vs. Phe208 in MAO-A) further restrict ligand binding in MAO-A.
  - **Clinical relevance**: MAO-B-selective inhibitors (e.g., Rasagiline, Safinamide) avoid inhibiting MAO-A, reducing risks of hypertensive crises (tyramine effect) seen with non-selective MAO-A inhibitors (e.g., Clorgyline).
- **Pathogenic variant context**: Overexpression of MAO-B with age (2–4× increase) in the striatum makes it a prime target for Parkinson’s therapy, while MAO-A’s role in other tissues (e.g., liver) necessitates selectivity.
---
### Summary of Key Points
1. **Irreversible inhibitors (Rasagiline)**: Covalently modify FAD-N5 via propargylamine chemistry, permanently inactivating MAO-B.
2. **Reversible inhibitors (Safinamide)**: Occupy the bipartite cavity (700 Å³) non-covalently, competitively blocking substrate access.
3. **Cavity volume (700 Å³ vs. 490 Å³)**: Explains MAO-B selectivity; larger cavity accommodates bulkier ligands, reducing off-target MAO-A inhibition.</t>
  </si>
  <si>
    <t xml:space="preserve">### **Drug-ability Comparison of LRRK2 (Kinase), BACE1 (Aspartyl Protease), and MAO-B (FAD-Oxidase)**
#### **1. LRRK2 (Leucine-rich repeat serine/threonine-protein kinase 2)**
**Active-site residues/cofactors exploited by drugs:**
- **ATP-binding site:** Mg²⁺-dependent phosphorylation of Rab substrates (Rab8A, Rab10, Rab35) at Thr72/Thr73.
- **Substrate-binding pocket:** Recognition of Rab proteins via conserved motifs (e.g., Thr72/Thr73).
- **Gatekeeper residue (G2019 in wildtype; S2019 in pathogenic variant):** Mutation (G2019S) increases ATP turnover (kcat_G2019S = 9.8 s⁻¹ vs. wildtype 3.5 s⁻¹), enhancing kinase activity.
**Most potent clinical/approved inhibitor:**
- **DNL201 (Denali Therapeutics):** Phase 3 clinical candidate for Parkinson’s Disease (G2019S variant).
- **Tool inhibitor MLi-2:** IC50 = **1.4 nM** (most potent known inhibitor).
**Why LRRK2 succeeded/failure as a drug target:**
✅ **Success factors:**
- **Highly druggable ATP-binding site:** Kinases are well-validated drug targets (e.g., imatinib for BCR-ABL).
- **Gain-of-function mutations (G2019S, R1441C) increase catalytic efficiency (kcat), making inhibition therapeutically relevant.**
- **Strong preclinical/clinical validation:** DNL201 is in Phase 3, and MLi-2 demonstrates sub-nanomolar potency.
- **Substrate specificity (Rab proteins) allows selective inhibition without off-target effects.**
❌ **Failure risks:**
- **Kinase selectivity challenges:** Off-target inhibition of other kinases (e.g., EGFR, JAK2) could cause toxicity.
- **Blood-brain barrier (BBB) penetration:** Must be addressed for CNS-targeting (LRRK2 is intracellular in neurons).
- **Pathogenic variants (e.g., G2019S) may require variant-specific inhibitors to avoid wildtype kinase inhibition.**
---
#### **2. BACE1 (Beta-secretase 1, Aspartyl Protease)**
*(Note: Evidence not provided in the prompt; general mechanistic comparison based on known literature.)*
**Active-site residues/cofactors exploited by drugs:**
- **Aspartyl dyad (Asp32, Asp228):** Catalytic residues for peptide bond cleavage in APP (amyloid precursor protein).
- **Substrate-binding pocket:** Recognizes APP at the β-secretase cleavage site (e.g., Swedish mutation increases affinity).
**Most potent clinical/approved inhibitor:**
- **Verubecestat (MK-8931):** IC50 = **1.4 nM** (Phase 3 for Alzheimer’s Disease).
- **Atabecestat (JNJ-54861911):** IC50 = **0.6 nM** (Phase 2/3).
**Why BACE1 succeeded/failure as a drug target:**
✅ **Success factors:**
- **Highly druggable aspartyl protease active site:** Inhibitors mimic substrate transition state (e.g., hydroxyethylene isosteres).
- **Strong mechanistic rationale:** Reducing Aβ production (BACE1 cleaves APP to Aβ peptides).
- **Potent inhibitors (sub-nanomolar IC50s) achieved.**
❌ **Failure risks:**
- **Mechanism-based toxicity:**
  - **APP-independent substrates:** BACE1 cleaves neuregulin-1 (NRG1), neurotrophin receptor (p75NTR), and others → synaptic dysfunction, cognitive deficits.
  - **Liver toxicity:** Observed in clinical trials (e.g., atabecestat halted for hepatotoxicity).
- **Partial inhibition insufficient:** Aβ plaques may persist even with high BACE1 inhibition.
- **BBB penetration challenges:** Despite potency, clinical efficacy in AD remains unproven (e.g., verubecestat failed Phase 3).
---
#### **3. MAO-B (Monoamine Oxidase B, FAD-Oxidase)**
*(Note: Evidence not provided in the prompt; general mechanistic comparison based on known literature.)*
**Active-site residues/cofactors exploited by drugs:**
- **FAD cofactor (covalently bound):** Oxidizes monoamines (e.g., dopamine) to aldehydes, generating H₂O₂.
- **Substrate-binding cavity:** Hydrophobic pocket accommodating dopamine, phenylethylamine, and inhibitors.
- **Catalytic residues:** FAD-dependent redox cycling (MAO-B is irreversible; suicide inhibition possible).
**Most potent clinical/approved inhibitor:**
- **Selegiline (Deprenyl):** IC50 = **10–50 nM** (irreversible MAO-B inhibitor, Parkinson’s Disease).
- **Rasagiline:** IC50 = **4 nM** (irreversible, more potent than selegiline).
- **Safinamide:** IC50 = **10 nM** (reversible, also blocks dopamine reuptake).
**Why MAO-B succeeded/failure as a drug target:**
✅ **Success factors:**
- **Well-validated target:** MAO-B inhibition increases synaptic dopamine (used in PD for decades).
- **Irreversible inhibitors (selegiline, rasagiline) provide sustained effects.**
- **Good BBB penetration:** Small, lipophilic molecules.
- **Dual benefit:** MAO-B inhibition reduces oxidative stress (H₂O₂ byproduct) in PD.
❌ **Failure risks:**
- **Off-target MAO-A inhibition:** Risk of hypertensive crisis (tyramine effect) if selectivity is lost.
- **Metabolite toxicity:** Selegiline metabolizes to amphetamine (cognitive side effects).
- **Limited disease-modifying effects:** Symptomatic relief only; does not halt neurodegeneration.
- **Competition with newer therapies (e.g., levodopa alternatives, alpha-synuclein targeting).**
---
### **Summary Table: Drug-ability Comparison**
| **Target**  | **Active-Site Features**       | **Most Potent Inhibitor (IC50)** | **Success Factors**                          | **Failure Risks**                          |
|-------------|--------------------------------|----------------------------------|---------------------------------------------|--------------------------------------------|
| **LRRK2**   | ATP-binding site (Mg²⁺), Rab substrates, gatekeeper (G2019S) | MLi-2 (**1.4 nM**), DNL201 (Phase 3) | Highly druggable kinase; gain-of-function mutations; strong preclinical validation | Kinase selectivity; BBB penetration; variant specificity |
| **BACE1**   | Aspartyl dyad (Asp32, Asp228), APP substrate pocket | Atabecestat (**0.6 nM**), Verubecestat (1.4 nM) | Sub-nanomolar inhibitors; strong mechanistic rationale | Mechanism-based toxicity (NRG1, p75NTR); hepatotoxicity; partial efficacy |
| **MAO-B**   | FAD cofactor, hydrophobic substrate pocket | Rasagiline (**4 nM**), Safinamide (10 nM) | Decades of clinical use; increases dopamine; reduces oxidative stress | Off-target MAO-A inhibition; metabolite toxicity; symptomatic only |
### **Final Assessment:**
- **LRRK2:** **Highly druggable** due to kinase active site and gain-of-function mutations, but clinical success depends on selectivity and BBB penetration.
- **BACE1:** **Mechanistically sound but toxicologically risky** due to off-target substrate cleavage and liver toxicity.
- **MAO-B:** **Clinically validated but limited to symptomatic relief** with safety concerns (MAO-A inhibition, metabolite toxicity).</t>
  </si>
  <si>
    <t xml:space="preserve">Enzyme</t>
  </si>
  <si>
    <t xml:space="preserve">Question Text</t>
  </si>
  <si>
    <t xml:space="preserve">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</si>
  <si>
    <t xml:space="preserve">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</si>
  <si>
    <t xml:space="preserve">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</si>
</sst>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8" activeCellId="0" sqref="E18"/>
    </sheetView>
  </sheetViews>
  <sheetFormatPr defaultColWidth="8.5390625" defaultRowHeight="15" zeroHeight="false" outlineLevelRow="0" outlineLevelCol="0"/>
  <cols>
    <col collapsed="false" customWidth="true" hidden="false" outlineLevel="0" max="1" min="1" style="0" width="19.95"/>
    <col collapsed="false" customWidth="true" hidden="false" outlineLevel="0" max="2" min="2" style="0" width="19.73"/>
    <col collapsed="false" customWidth="true" hidden="false" outlineLevel="0" max="3" min="3" style="0" width="22.16"/>
    <col collapsed="false" customWidth="true" hidden="false" outlineLevel="0" max="5" min="5" style="0" width="15.11"/>
    <col collapsed="false" customWidth="true" hidden="false" outlineLevel="0" max="13" min="13" style="0" width="15.32"/>
  </cols>
  <sheetData>
    <row r="1" customFormat="false" ht="13.8" hidden="false" customHeight="false" outlineLevel="0" collapsed="false">
      <c r="A1" s="1" t="s">
        <v>0</v>
      </c>
      <c r="B1" s="1" t="s">
        <v>1</v>
      </c>
      <c r="C1" s="1"/>
      <c r="D1" s="1" t="s">
        <v>2</v>
      </c>
      <c r="E1" s="1" t="s">
        <v>3</v>
      </c>
      <c r="F1" s="1" t="s">
        <v>4</v>
      </c>
      <c r="G1" s="1" t="s">
        <v>5</v>
      </c>
      <c r="H1" s="1" t="s">
        <v>6</v>
      </c>
      <c r="I1" s="1" t="s">
        <v>7</v>
      </c>
      <c r="J1" s="1" t="s">
        <v>8</v>
      </c>
      <c r="K1" s="1" t="s">
        <v>9</v>
      </c>
      <c r="L1" s="1" t="s">
        <v>10</v>
      </c>
      <c r="M1" s="1" t="s">
        <v>11</v>
      </c>
    </row>
    <row r="2" customFormat="false" ht="13.8" hidden="false" customHeight="false" outlineLevel="0" collapsed="false">
      <c r="A2" s="0" t="n">
        <v>1</v>
      </c>
      <c r="B2" s="0" t="s">
        <v>12</v>
      </c>
      <c r="D2" s="0" t="s">
        <v>13</v>
      </c>
      <c r="E2" s="0" t="n">
        <v>3</v>
      </c>
      <c r="F2" s="0" t="n">
        <v>3</v>
      </c>
      <c r="G2" s="0" t="n">
        <v>4</v>
      </c>
      <c r="H2" s="0" t="n">
        <v>4.667</v>
      </c>
      <c r="I2" s="0" t="n">
        <v>4.333</v>
      </c>
      <c r="J2" s="0" t="n">
        <v>0</v>
      </c>
      <c r="K2" s="0" t="n">
        <v>0.8333</v>
      </c>
      <c r="L2" s="0" t="n">
        <v>9.17</v>
      </c>
      <c r="M2" s="0" t="n">
        <v>1350</v>
      </c>
    </row>
    <row r="3" customFormat="false" ht="13.8" hidden="false" customHeight="false" outlineLevel="0" collapsed="false">
      <c r="A3" s="0" t="n">
        <v>2</v>
      </c>
      <c r="B3" s="0" t="s">
        <v>14</v>
      </c>
      <c r="D3" s="0" t="s">
        <v>13</v>
      </c>
      <c r="E3" s="0" t="n">
        <v>3</v>
      </c>
      <c r="F3" s="0" t="n">
        <v>3</v>
      </c>
      <c r="G3" s="0" t="n">
        <v>3.667</v>
      </c>
      <c r="H3" s="0" t="n">
        <v>3.667</v>
      </c>
      <c r="I3" s="0" t="n">
        <v>4</v>
      </c>
      <c r="J3" s="0" t="n">
        <v>0</v>
      </c>
      <c r="K3" s="0" t="n">
        <v>0.6944</v>
      </c>
      <c r="L3" s="0" t="n">
        <v>1.91</v>
      </c>
      <c r="M3" s="0" t="n">
        <v>673</v>
      </c>
    </row>
    <row r="4" customFormat="false" ht="13.8" hidden="false" customHeight="false" outlineLevel="0" collapsed="false">
      <c r="A4" s="0" t="n">
        <v>3</v>
      </c>
      <c r="B4" s="0" t="s">
        <v>15</v>
      </c>
      <c r="D4" s="0" t="s">
        <v>13</v>
      </c>
      <c r="E4" s="0" t="n">
        <v>3</v>
      </c>
      <c r="F4" s="0" t="n">
        <v>3</v>
      </c>
      <c r="G4" s="0" t="n">
        <v>3</v>
      </c>
      <c r="H4" s="0" t="n">
        <v>3.667</v>
      </c>
      <c r="I4" s="0" t="n">
        <v>3.667</v>
      </c>
      <c r="J4" s="0" t="n">
        <v>0</v>
      </c>
      <c r="K4" s="0" t="n">
        <v>0.6111</v>
      </c>
      <c r="L4" s="0" t="n">
        <v>3.03</v>
      </c>
      <c r="M4" s="0" t="n">
        <v>767</v>
      </c>
    </row>
    <row r="5"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1</v>
      </c>
      <c r="B1" s="1" t="s">
        <v>16</v>
      </c>
      <c r="C1" s="1" t="s">
        <v>17</v>
      </c>
      <c r="D1" s="1" t="s">
        <v>18</v>
      </c>
      <c r="E1" s="1" t="s">
        <v>2</v>
      </c>
      <c r="F1" s="1" t="s">
        <v>19</v>
      </c>
      <c r="G1" s="1" t="s">
        <v>20</v>
      </c>
      <c r="H1" s="1" t="s">
        <v>21</v>
      </c>
      <c r="I1" s="1" t="s">
        <v>22</v>
      </c>
      <c r="J1" s="1" t="s">
        <v>23</v>
      </c>
      <c r="K1" s="1" t="s">
        <v>24</v>
      </c>
      <c r="L1" s="1" t="s">
        <v>25</v>
      </c>
      <c r="M1" s="1" t="s">
        <v>26</v>
      </c>
      <c r="N1" s="1" t="s">
        <v>27</v>
      </c>
      <c r="O1" s="1" t="s">
        <v>28</v>
      </c>
      <c r="P1" s="1" t="s">
        <v>29</v>
      </c>
      <c r="Q1" s="1" t="s">
        <v>30</v>
      </c>
      <c r="R1" s="1" t="s">
        <v>31</v>
      </c>
    </row>
    <row r="2" customFormat="false" ht="15" hidden="false" customHeight="false" outlineLevel="0" collapsed="false">
      <c r="A2" s="0" t="s">
        <v>12</v>
      </c>
      <c r="B2" s="0" t="s">
        <v>32</v>
      </c>
      <c r="C2" s="0" t="s">
        <v>33</v>
      </c>
      <c r="D2" s="0" t="s">
        <v>34</v>
      </c>
      <c r="E2" s="0" t="s">
        <v>13</v>
      </c>
      <c r="F2" s="0" t="n">
        <v>5</v>
      </c>
      <c r="G2" s="0" t="n">
        <v>5</v>
      </c>
      <c r="H2" s="0" t="n">
        <v>5</v>
      </c>
      <c r="I2" s="0" t="n">
        <v>0</v>
      </c>
      <c r="J2" s="0" t="n">
        <v>1</v>
      </c>
      <c r="K2" s="0" t="n">
        <v>8.37020546600002</v>
      </c>
      <c r="L2" s="0" t="n">
        <v>1291</v>
      </c>
      <c r="M2" s="0" t="s">
        <v>15</v>
      </c>
      <c r="N2" s="0" t="b">
        <f aca="false">TRUE()</f>
        <v>1</v>
      </c>
      <c r="Q2" s="0" t="s">
        <v>35</v>
      </c>
      <c r="R2" s="0" t="n">
        <v>6</v>
      </c>
    </row>
    <row r="3" customFormat="false" ht="15" hidden="false" customHeight="false" outlineLevel="0" collapsed="false">
      <c r="A3" s="0" t="s">
        <v>12</v>
      </c>
      <c r="B3" s="0" t="s">
        <v>32</v>
      </c>
      <c r="C3" s="0" t="s">
        <v>36</v>
      </c>
      <c r="D3" s="0" t="s">
        <v>37</v>
      </c>
      <c r="E3" s="0" t="s">
        <v>13</v>
      </c>
      <c r="F3" s="0" t="n">
        <v>4</v>
      </c>
      <c r="G3" s="0" t="n">
        <v>5</v>
      </c>
      <c r="H3" s="0" t="n">
        <v>5</v>
      </c>
      <c r="I3" s="0" t="n">
        <v>0</v>
      </c>
      <c r="J3" s="0" t="n">
        <v>0.9167</v>
      </c>
      <c r="K3" s="0" t="n">
        <v>7.24523355999997</v>
      </c>
      <c r="L3" s="0" t="n">
        <v>1049</v>
      </c>
      <c r="M3" s="0" t="s">
        <v>14</v>
      </c>
      <c r="N3" s="0" t="b">
        <f aca="false">TRUE()</f>
        <v>1</v>
      </c>
      <c r="Q3" s="0" t="s">
        <v>38</v>
      </c>
      <c r="R3" s="0" t="n">
        <v>8</v>
      </c>
    </row>
    <row r="4" customFormat="false" ht="15" hidden="false" customHeight="false" outlineLevel="0" collapsed="false">
      <c r="A4" s="0" t="s">
        <v>15</v>
      </c>
      <c r="B4" s="0" t="s">
        <v>39</v>
      </c>
      <c r="C4" s="0" t="s">
        <v>36</v>
      </c>
      <c r="D4" s="0" t="s">
        <v>37</v>
      </c>
      <c r="E4" s="0" t="s">
        <v>13</v>
      </c>
      <c r="F4" s="0" t="n">
        <v>4</v>
      </c>
      <c r="G4" s="0" t="n">
        <v>4</v>
      </c>
      <c r="H4" s="0" t="n">
        <v>5</v>
      </c>
      <c r="I4" s="0" t="n">
        <v>0</v>
      </c>
      <c r="J4" s="0" t="n">
        <v>0.8333</v>
      </c>
      <c r="K4" s="0" t="n">
        <v>2.54572839400009</v>
      </c>
      <c r="L4" s="0" t="n">
        <v>766</v>
      </c>
      <c r="M4" s="0" t="s">
        <v>12</v>
      </c>
      <c r="N4" s="0" t="b">
        <f aca="false">TRUE()</f>
        <v>1</v>
      </c>
      <c r="Q4" s="0" t="s">
        <v>40</v>
      </c>
      <c r="R4" s="0" t="n">
        <v>20</v>
      </c>
    </row>
    <row r="5" customFormat="false" ht="15" hidden="false" customHeight="false" outlineLevel="0" collapsed="false">
      <c r="A5" s="0" t="s">
        <v>14</v>
      </c>
      <c r="B5" s="0" t="s">
        <v>39</v>
      </c>
      <c r="C5" s="0" t="s">
        <v>33</v>
      </c>
      <c r="D5" s="0" t="s">
        <v>34</v>
      </c>
      <c r="E5" s="0" t="s">
        <v>13</v>
      </c>
      <c r="F5" s="0" t="n">
        <v>4</v>
      </c>
      <c r="G5" s="0" t="n">
        <v>4</v>
      </c>
      <c r="H5" s="0" t="n">
        <v>5</v>
      </c>
      <c r="I5" s="0" t="n">
        <v>0</v>
      </c>
      <c r="J5" s="0" t="n">
        <v>0.8333</v>
      </c>
      <c r="K5" s="0" t="n">
        <v>2.236831499</v>
      </c>
      <c r="L5" s="0" t="n">
        <v>812</v>
      </c>
      <c r="M5" s="0" t="s">
        <v>12</v>
      </c>
      <c r="N5" s="0" t="b">
        <f aca="false">TRUE()</f>
        <v>1</v>
      </c>
      <c r="Q5" s="0" t="s">
        <v>41</v>
      </c>
      <c r="R5" s="0" t="n">
        <v>14</v>
      </c>
    </row>
    <row r="6" customFormat="false" ht="15" hidden="false" customHeight="false" outlineLevel="0" collapsed="false">
      <c r="A6" s="0" t="s">
        <v>14</v>
      </c>
      <c r="B6" s="0" t="s">
        <v>39</v>
      </c>
      <c r="C6" s="0" t="s">
        <v>36</v>
      </c>
      <c r="D6" s="0" t="s">
        <v>37</v>
      </c>
      <c r="E6" s="0" t="s">
        <v>13</v>
      </c>
      <c r="F6" s="0" t="n">
        <v>4</v>
      </c>
      <c r="G6" s="0" t="n">
        <v>4</v>
      </c>
      <c r="H6" s="0" t="n">
        <v>5</v>
      </c>
      <c r="I6" s="0" t="n">
        <v>0</v>
      </c>
      <c r="J6" s="0" t="n">
        <v>0.8333</v>
      </c>
      <c r="K6" s="0" t="n">
        <v>1.84149388900005</v>
      </c>
      <c r="L6" s="0" t="n">
        <v>634</v>
      </c>
      <c r="M6" s="0" t="s">
        <v>12</v>
      </c>
      <c r="N6" s="0" t="b">
        <f aca="false">TRUE()</f>
        <v>1</v>
      </c>
      <c r="Q6" s="0" t="s">
        <v>42</v>
      </c>
      <c r="R6" s="0" t="n">
        <v>18</v>
      </c>
    </row>
    <row r="7" customFormat="false" ht="15" hidden="false" customHeight="false" outlineLevel="0" collapsed="false">
      <c r="A7" s="0" t="s">
        <v>15</v>
      </c>
      <c r="B7" s="0" t="s">
        <v>39</v>
      </c>
      <c r="C7" s="0" t="s">
        <v>33</v>
      </c>
      <c r="D7" s="0" t="s">
        <v>34</v>
      </c>
      <c r="E7" s="0" t="s">
        <v>13</v>
      </c>
      <c r="F7" s="0" t="n">
        <v>3</v>
      </c>
      <c r="G7" s="0" t="n">
        <v>4</v>
      </c>
      <c r="H7" s="0" t="n">
        <v>4</v>
      </c>
      <c r="I7" s="0" t="n">
        <v>0</v>
      </c>
      <c r="J7" s="0" t="n">
        <v>0.6667</v>
      </c>
      <c r="K7" s="0" t="n">
        <v>3.65509137999993</v>
      </c>
      <c r="L7" s="0" t="n">
        <v>719</v>
      </c>
      <c r="M7" s="0" t="s">
        <v>12</v>
      </c>
      <c r="N7" s="0" t="b">
        <f aca="false">TRUE()</f>
        <v>1</v>
      </c>
      <c r="Q7" s="0" t="s">
        <v>43</v>
      </c>
      <c r="R7" s="0" t="n">
        <v>15</v>
      </c>
    </row>
    <row r="8" customFormat="false" ht="15" hidden="false" customHeight="false" outlineLevel="0" collapsed="false">
      <c r="A8" s="0" t="s">
        <v>12</v>
      </c>
      <c r="B8" s="0" t="s">
        <v>32</v>
      </c>
      <c r="C8" s="0" t="s">
        <v>44</v>
      </c>
      <c r="D8" s="0" t="s">
        <v>45</v>
      </c>
      <c r="E8" s="0" t="s">
        <v>13</v>
      </c>
      <c r="F8" s="0" t="n">
        <v>3</v>
      </c>
      <c r="G8" s="0" t="n">
        <v>4</v>
      </c>
      <c r="H8" s="0" t="n">
        <v>3</v>
      </c>
      <c r="I8" s="0" t="n">
        <v>0</v>
      </c>
      <c r="J8" s="0" t="n">
        <v>0.5833</v>
      </c>
      <c r="K8" s="0" t="n">
        <v>11.882712812</v>
      </c>
      <c r="L8" s="0" t="n">
        <v>1709</v>
      </c>
      <c r="M8" s="0" t="s">
        <v>15</v>
      </c>
      <c r="N8" s="0" t="b">
        <f aca="false">TRUE()</f>
        <v>1</v>
      </c>
      <c r="Q8" s="0" t="s">
        <v>46</v>
      </c>
      <c r="R8" s="0" t="n">
        <v>1</v>
      </c>
    </row>
    <row r="9" customFormat="false" ht="15" hidden="false" customHeight="false" outlineLevel="0" collapsed="false">
      <c r="A9" s="0" t="s">
        <v>14</v>
      </c>
      <c r="B9" s="0" t="s">
        <v>39</v>
      </c>
      <c r="C9" s="0" t="s">
        <v>44</v>
      </c>
      <c r="D9" s="0" t="s">
        <v>45</v>
      </c>
      <c r="E9" s="0" t="s">
        <v>13</v>
      </c>
      <c r="F9" s="0" t="n">
        <v>3</v>
      </c>
      <c r="G9" s="0" t="n">
        <v>3</v>
      </c>
      <c r="H9" s="0" t="n">
        <v>2</v>
      </c>
      <c r="I9" s="0" t="n">
        <v>0</v>
      </c>
      <c r="J9" s="0" t="n">
        <v>0.4167</v>
      </c>
      <c r="K9" s="0" t="n">
        <v>1.63827791799997</v>
      </c>
      <c r="L9" s="0" t="n">
        <v>574</v>
      </c>
      <c r="M9" s="0" t="s">
        <v>12</v>
      </c>
      <c r="N9" s="0" t="b">
        <f aca="false">TRUE()</f>
        <v>1</v>
      </c>
      <c r="Q9" s="0" t="s">
        <v>47</v>
      </c>
      <c r="R9" s="0" t="n">
        <v>16</v>
      </c>
    </row>
    <row r="10" customFormat="false" ht="15" hidden="false" customHeight="false" outlineLevel="0" collapsed="false">
      <c r="A10" s="0" t="s">
        <v>15</v>
      </c>
      <c r="B10" s="0" t="s">
        <v>39</v>
      </c>
      <c r="C10" s="0" t="s">
        <v>44</v>
      </c>
      <c r="D10" s="0" t="s">
        <v>45</v>
      </c>
      <c r="E10" s="0" t="s">
        <v>13</v>
      </c>
      <c r="F10" s="0" t="n">
        <v>2</v>
      </c>
      <c r="G10" s="0" t="n">
        <v>3</v>
      </c>
      <c r="H10" s="0" t="n">
        <v>2</v>
      </c>
      <c r="I10" s="0" t="n">
        <v>0</v>
      </c>
      <c r="J10" s="0" t="n">
        <v>0.3333</v>
      </c>
      <c r="K10" s="0" t="n">
        <v>2.88327586499997</v>
      </c>
      <c r="L10" s="0" t="n">
        <v>817</v>
      </c>
      <c r="M10" s="0" t="s">
        <v>12</v>
      </c>
      <c r="N10" s="0" t="b">
        <f aca="false">TRUE()</f>
        <v>1</v>
      </c>
      <c r="Q10" s="0" t="s">
        <v>48</v>
      </c>
      <c r="R10" s="0" t="n">
        <v>24</v>
      </c>
    </row>
    <row r="11" customFormat="false" ht="15" hidden="false" customHeight="false" outlineLevel="0" collapsed="false">
      <c r="A11" s="0" t="s">
        <v>49</v>
      </c>
      <c r="B11" s="0" t="s">
        <v>50</v>
      </c>
      <c r="C11" s="0" t="s">
        <v>33</v>
      </c>
      <c r="D11" s="0" t="s">
        <v>34</v>
      </c>
      <c r="E11" s="0" t="s">
        <v>13</v>
      </c>
      <c r="F11" s="0" t="n">
        <v>1</v>
      </c>
      <c r="G11" s="0" t="n">
        <v>1</v>
      </c>
      <c r="H11" s="0" t="n">
        <v>1</v>
      </c>
      <c r="I11" s="0" t="n">
        <v>0</v>
      </c>
      <c r="J11" s="0" t="n">
        <v>0</v>
      </c>
      <c r="K11" s="0" t="n">
        <v>0.448417015000018</v>
      </c>
      <c r="L11" s="0" t="n">
        <v>0</v>
      </c>
      <c r="M11" s="0" t="s">
        <v>51</v>
      </c>
      <c r="N11" s="0" t="b">
        <f aca="false">FALSE()</f>
        <v>0</v>
      </c>
      <c r="O11" s="0" t="s">
        <v>52</v>
      </c>
      <c r="P11" s="0" t="s">
        <v>53</v>
      </c>
      <c r="Q11" s="0" t="s">
        <v>35</v>
      </c>
      <c r="R11" s="0" t="n">
        <v>0</v>
      </c>
    </row>
    <row r="12" customFormat="false" ht="15" hidden="false" customHeight="false" outlineLevel="0" collapsed="false">
      <c r="A12" s="0" t="s">
        <v>49</v>
      </c>
      <c r="B12" s="0" t="s">
        <v>50</v>
      </c>
      <c r="C12" s="0" t="s">
        <v>36</v>
      </c>
      <c r="D12" s="0" t="s">
        <v>37</v>
      </c>
      <c r="E12" s="0" t="s">
        <v>13</v>
      </c>
      <c r="F12" s="0" t="n">
        <v>1</v>
      </c>
      <c r="G12" s="0" t="n">
        <v>1</v>
      </c>
      <c r="H12" s="0" t="n">
        <v>1</v>
      </c>
      <c r="I12" s="0" t="n">
        <v>0</v>
      </c>
      <c r="J12" s="0" t="n">
        <v>0</v>
      </c>
      <c r="K12" s="0" t="n">
        <v>0.378980974000001</v>
      </c>
      <c r="L12" s="0" t="n">
        <v>0</v>
      </c>
      <c r="M12" s="0" t="s">
        <v>51</v>
      </c>
      <c r="N12" s="0" t="b">
        <f aca="false">FALSE()</f>
        <v>0</v>
      </c>
      <c r="O12" s="0" t="s">
        <v>54</v>
      </c>
      <c r="P12" s="0" t="s">
        <v>53</v>
      </c>
      <c r="Q12" s="0" t="s">
        <v>35</v>
      </c>
      <c r="R12" s="0" t="n">
        <v>0</v>
      </c>
    </row>
    <row r="13" customFormat="false" ht="15" hidden="false" customHeight="false" outlineLevel="0" collapsed="false">
      <c r="A13" s="0" t="s">
        <v>49</v>
      </c>
      <c r="B13" s="0" t="s">
        <v>50</v>
      </c>
      <c r="C13" s="0" t="s">
        <v>44</v>
      </c>
      <c r="D13" s="0" t="s">
        <v>45</v>
      </c>
      <c r="E13" s="0" t="s">
        <v>13</v>
      </c>
      <c r="F13" s="0" t="n">
        <v>1</v>
      </c>
      <c r="G13" s="0" t="n">
        <v>1</v>
      </c>
      <c r="H13" s="0" t="n">
        <v>1</v>
      </c>
      <c r="I13" s="0" t="n">
        <v>0</v>
      </c>
      <c r="J13" s="0" t="n">
        <v>0</v>
      </c>
      <c r="K13" s="0" t="n">
        <v>0.350371558999996</v>
      </c>
      <c r="L13" s="0" t="n">
        <v>0</v>
      </c>
      <c r="M13" s="0" t="s">
        <v>51</v>
      </c>
      <c r="N13" s="0" t="b">
        <f aca="false">FALSE()</f>
        <v>0</v>
      </c>
      <c r="O13" s="0" t="s">
        <v>55</v>
      </c>
      <c r="P13" s="0" t="s">
        <v>53</v>
      </c>
      <c r="Q13" s="0" t="s">
        <v>35</v>
      </c>
      <c r="R13"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56</v>
      </c>
      <c r="B1" s="1" t="s">
        <v>57</v>
      </c>
      <c r="C1" s="1" t="s">
        <v>58</v>
      </c>
      <c r="D1" s="1" t="s">
        <v>59</v>
      </c>
      <c r="E1" s="1" t="s">
        <v>60</v>
      </c>
    </row>
    <row r="2" customFormat="false" ht="15" hidden="false" customHeight="false" outlineLevel="0" collapsed="false">
      <c r="A2" s="0" t="s">
        <v>15</v>
      </c>
      <c r="B2" s="0" t="s">
        <v>33</v>
      </c>
      <c r="C2" s="0" t="b">
        <f aca="false">TRUE()</f>
        <v>1</v>
      </c>
      <c r="D2" s="0" t="n">
        <v>3.655</v>
      </c>
      <c r="E2" s="2" t="s">
        <v>61</v>
      </c>
    </row>
    <row r="3" customFormat="false" ht="15" hidden="false" customHeight="false" outlineLevel="0" collapsed="false">
      <c r="A3" s="0" t="s">
        <v>15</v>
      </c>
      <c r="B3" s="0" t="s">
        <v>36</v>
      </c>
      <c r="C3" s="0" t="b">
        <f aca="false">TRUE()</f>
        <v>1</v>
      </c>
      <c r="D3" s="0" t="n">
        <v>2.546</v>
      </c>
      <c r="E3" s="2" t="s">
        <v>62</v>
      </c>
    </row>
    <row r="4" customFormat="false" ht="15" hidden="false" customHeight="false" outlineLevel="0" collapsed="false">
      <c r="A4" s="0" t="s">
        <v>15</v>
      </c>
      <c r="B4" s="0" t="s">
        <v>44</v>
      </c>
      <c r="C4" s="0" t="b">
        <f aca="false">TRUE()</f>
        <v>1</v>
      </c>
      <c r="D4" s="0" t="n">
        <v>2.883</v>
      </c>
      <c r="E4" s="2" t="s">
        <v>63</v>
      </c>
    </row>
    <row r="5" customFormat="false" ht="15" hidden="false" customHeight="false" outlineLevel="0" collapsed="false">
      <c r="A5" s="0" t="s">
        <v>14</v>
      </c>
      <c r="B5" s="0" t="s">
        <v>33</v>
      </c>
      <c r="C5" s="0" t="b">
        <f aca="false">TRUE()</f>
        <v>1</v>
      </c>
      <c r="D5" s="0" t="n">
        <v>2.237</v>
      </c>
      <c r="E5" s="2" t="s">
        <v>64</v>
      </c>
    </row>
    <row r="6" customFormat="false" ht="15" hidden="false" customHeight="false" outlineLevel="0" collapsed="false">
      <c r="A6" s="0" t="s">
        <v>14</v>
      </c>
      <c r="B6" s="0" t="s">
        <v>36</v>
      </c>
      <c r="C6" s="0" t="b">
        <f aca="false">TRUE()</f>
        <v>1</v>
      </c>
      <c r="D6" s="0" t="n">
        <v>1.841</v>
      </c>
      <c r="E6" s="2" t="s">
        <v>65</v>
      </c>
    </row>
    <row r="7" customFormat="false" ht="15" hidden="false" customHeight="false" outlineLevel="0" collapsed="false">
      <c r="A7" s="0" t="s">
        <v>14</v>
      </c>
      <c r="B7" s="0" t="s">
        <v>44</v>
      </c>
      <c r="C7" s="0" t="b">
        <f aca="false">TRUE()</f>
        <v>1</v>
      </c>
      <c r="D7" s="0" t="n">
        <v>1.638</v>
      </c>
      <c r="E7" s="2" t="s">
        <v>66</v>
      </c>
    </row>
    <row r="8" customFormat="false" ht="15" hidden="false" customHeight="false" outlineLevel="0" collapsed="false">
      <c r="A8" s="0" t="s">
        <v>49</v>
      </c>
      <c r="B8" s="0" t="s">
        <v>33</v>
      </c>
      <c r="C8" s="0" t="b">
        <f aca="false">FALSE()</f>
        <v>0</v>
      </c>
      <c r="D8" s="0" t="n">
        <v>0.448</v>
      </c>
    </row>
    <row r="9" customFormat="false" ht="15" hidden="false" customHeight="false" outlineLevel="0" collapsed="false">
      <c r="A9" s="0" t="s">
        <v>49</v>
      </c>
      <c r="B9" s="0" t="s">
        <v>36</v>
      </c>
      <c r="C9" s="0" t="b">
        <f aca="false">FALSE()</f>
        <v>0</v>
      </c>
      <c r="D9" s="0" t="n">
        <v>0.379</v>
      </c>
    </row>
    <row r="10" customFormat="false" ht="15" hidden="false" customHeight="false" outlineLevel="0" collapsed="false">
      <c r="A10" s="0" t="s">
        <v>49</v>
      </c>
      <c r="B10" s="0" t="s">
        <v>44</v>
      </c>
      <c r="C10" s="0" t="b">
        <f aca="false">FALSE()</f>
        <v>0</v>
      </c>
      <c r="D10" s="0" t="n">
        <v>0.35</v>
      </c>
    </row>
    <row r="11" customFormat="false" ht="15" hidden="false" customHeight="false" outlineLevel="0" collapsed="false">
      <c r="A11" s="0" t="s">
        <v>12</v>
      </c>
      <c r="B11" s="0" t="s">
        <v>33</v>
      </c>
      <c r="C11" s="0" t="b">
        <f aca="false">TRUE()</f>
        <v>1</v>
      </c>
      <c r="D11" s="0" t="n">
        <v>8.37</v>
      </c>
      <c r="E11" s="2" t="s">
        <v>67</v>
      </c>
    </row>
    <row r="12" customFormat="false" ht="15" hidden="false" customHeight="false" outlineLevel="0" collapsed="false">
      <c r="A12" s="0" t="s">
        <v>12</v>
      </c>
      <c r="B12" s="0" t="s">
        <v>36</v>
      </c>
      <c r="C12" s="0" t="b">
        <f aca="false">TRUE()</f>
        <v>1</v>
      </c>
      <c r="D12" s="0" t="n">
        <v>7.245</v>
      </c>
      <c r="E12" s="2" t="s">
        <v>68</v>
      </c>
    </row>
    <row r="13" customFormat="false" ht="15" hidden="false" customHeight="false" outlineLevel="0" collapsed="false">
      <c r="A13" s="0" t="s">
        <v>12</v>
      </c>
      <c r="B13" s="0" t="s">
        <v>44</v>
      </c>
      <c r="C13" s="0" t="b">
        <f aca="false">TRUE()</f>
        <v>1</v>
      </c>
      <c r="D13" s="0" t="n">
        <v>11.883</v>
      </c>
      <c r="E13" s="2"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 t="s">
        <v>57</v>
      </c>
      <c r="B1" s="1" t="s">
        <v>70</v>
      </c>
      <c r="C1" s="1" t="s">
        <v>71</v>
      </c>
    </row>
    <row r="2" customFormat="false" ht="15" hidden="false" customHeight="false" outlineLevel="0" collapsed="false">
      <c r="A2" s="0" t="s">
        <v>33</v>
      </c>
      <c r="B2" s="0" t="s">
        <v>34</v>
      </c>
      <c r="C2" s="0" t="s">
        <v>72</v>
      </c>
    </row>
    <row r="3" customFormat="false" ht="15" hidden="false" customHeight="false" outlineLevel="0" collapsed="false">
      <c r="A3" s="0" t="s">
        <v>36</v>
      </c>
      <c r="B3" s="0" t="s">
        <v>37</v>
      </c>
      <c r="C3" s="0" t="s">
        <v>73</v>
      </c>
    </row>
    <row r="4" customFormat="false" ht="15" hidden="false" customHeight="false" outlineLevel="0" collapsed="false">
      <c r="A4" s="0" t="s">
        <v>44</v>
      </c>
      <c r="B4" s="0" t="s">
        <v>45</v>
      </c>
      <c r="C4" s="0"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2026-07-01T21:02:51Z</dcterms:created>
  <dc:creator>openpyxl</dc:creator>
  <dc:description/>
  <dc:language>en-IN</dc:language>
  <cp:lastModifiedBy/>
  <dcterms:modified xsi:type="dcterms:W3CDTF">2026-07-02T02:41:37Z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